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7" customWidth="1" min="7" max="7"/>
    <col width="13" customWidth="1" min="8" max="8"/>
    <col width="19" customWidth="1" min="9" max="9"/>
    <col width="16" customWidth="1" min="10" max="10"/>
  </cols>
  <sheetData>
    <row r="1">
      <c r="A1" s="1" t="inlineStr">
        <is>
          <t>CBS Azure Monthly Cost Estimate</t>
        </is>
      </c>
    </row>
    <row r="3">
      <c r="A3" t="inlineStr">
        <is>
          <t>Pricing month</t>
        </is>
      </c>
      <c r="B3" s="2" t="n">
        <v>46296</v>
      </c>
    </row>
    <row r="4">
      <c r="A4" t="inlineStr">
        <is>
          <t>Generated on</t>
        </is>
      </c>
      <c r="B4" s="2" t="n">
        <v>46296</v>
      </c>
    </row>
    <row r="5">
      <c r="A5" t="inlineStr">
        <is>
          <t>Region</t>
        </is>
      </c>
      <c r="B5" t="inlineStr">
        <is>
          <t>West Europe</t>
        </is>
      </c>
    </row>
    <row r="6">
      <c r="A6" t="inlineStr">
        <is>
          <t>Billing model</t>
        </is>
      </c>
      <c r="B6" t="inlineStr">
        <is>
          <t>Pay-as-you-go (Linux)</t>
        </is>
      </c>
    </row>
    <row r="7">
      <c r="A7" t="inlineStr">
        <is>
          <t>Hours per month</t>
        </is>
      </c>
      <c r="B7" t="n">
        <v>730</v>
      </c>
    </row>
    <row r="8">
      <c r="A8" t="inlineStr">
        <is>
          <t>Currency</t>
        </is>
      </c>
      <c r="B8" t="inlineStr">
        <is>
          <t>USD</t>
        </is>
      </c>
    </row>
    <row r="10">
      <c r="A10" s="3" t="inlineStr">
        <is>
          <t>Unit price assumptions</t>
        </is>
      </c>
    </row>
    <row r="11">
      <c r="A11" s="4" t="inlineStr">
        <is>
          <t>Resource</t>
        </is>
      </c>
      <c r="B11" s="4" t="inlineStr">
        <is>
          <t>Unit Price</t>
        </is>
      </c>
      <c r="C11" s="4" t="inlineStr">
        <is>
          <t>Unit</t>
        </is>
      </c>
    </row>
    <row r="12">
      <c r="A12" t="inlineStr">
        <is>
          <t>VM Standard_D4s_v5</t>
        </is>
      </c>
      <c r="B12" s="5" t="n">
        <v>0.19</v>
      </c>
      <c r="C12" t="inlineStr">
        <is>
          <t>USD/hour</t>
        </is>
      </c>
    </row>
    <row r="13">
      <c r="A13" t="inlineStr">
        <is>
          <t>VM Standard_D8s_v5</t>
        </is>
      </c>
      <c r="B13" s="5" t="n">
        <v>0.38</v>
      </c>
      <c r="C13" t="inlineStr">
        <is>
          <t>USD/hour</t>
        </is>
      </c>
    </row>
    <row r="14">
      <c r="A14" t="inlineStr">
        <is>
          <t>Premium SSD P20</t>
        </is>
      </c>
      <c r="B14" s="5" t="n">
        <v>19</v>
      </c>
      <c r="C14" t="inlineStr">
        <is>
          <t>USD/month</t>
        </is>
      </c>
    </row>
    <row r="15">
      <c r="A15" t="inlineStr">
        <is>
          <t>Standard Public IP</t>
        </is>
      </c>
      <c r="B15" s="5" t="n">
        <v>3</v>
      </c>
      <c r="C15" t="inlineStr">
        <is>
          <t>USD/month</t>
        </is>
      </c>
    </row>
    <row r="16">
      <c r="A16" t="inlineStr">
        <is>
          <t>Standard Load Balancer</t>
        </is>
      </c>
      <c r="B16" s="5" t="n">
        <v>20</v>
      </c>
      <c r="C16" t="inlineStr">
        <is>
          <t>USD/month</t>
        </is>
      </c>
    </row>
    <row r="17">
      <c r="A17" t="inlineStr">
        <is>
          <t>Application Gateway WAF_v2</t>
        </is>
      </c>
      <c r="B17" s="5" t="n">
        <v>330</v>
      </c>
      <c r="C17" t="inlineStr">
        <is>
          <t>USD/month</t>
        </is>
      </c>
    </row>
    <row r="19">
      <c r="A19" s="3" t="inlineStr">
        <is>
          <t>VM + Load Balancer architecture</t>
        </is>
      </c>
    </row>
    <row r="20">
      <c r="A20" s="4" t="inlineStr">
        <is>
          <t>Environment</t>
        </is>
      </c>
      <c r="B20" s="4" t="inlineStr">
        <is>
          <t>D4 VM Count</t>
        </is>
      </c>
      <c r="C20" s="4" t="inlineStr">
        <is>
          <t>D8 VM Count</t>
        </is>
      </c>
      <c r="D20" s="4" t="inlineStr">
        <is>
          <t>P20 Disk Count</t>
        </is>
      </c>
      <c r="E20" s="4" t="inlineStr">
        <is>
          <t>Public IP Count</t>
        </is>
      </c>
      <c r="F20" s="4" t="inlineStr">
        <is>
          <t>LB Count</t>
        </is>
      </c>
      <c r="G20" s="4" t="inlineStr">
        <is>
          <t>Compute Monthly</t>
        </is>
      </c>
      <c r="H20" s="4" t="inlineStr">
        <is>
          <t>Disk Monthly</t>
        </is>
      </c>
      <c r="I20" s="4" t="inlineStr">
        <is>
          <t>Network Monthly</t>
        </is>
      </c>
      <c r="J20" s="4" t="inlineStr">
        <is>
          <t>Total Monthly</t>
        </is>
      </c>
    </row>
    <row r="21">
      <c r="A21" t="inlineStr">
        <is>
          <t>Dev / Demo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s="5">
        <f>(B21*$B$12+C21*$B$13)*$B$7</f>
        <v/>
      </c>
      <c r="H21" s="5">
        <f>D21*$B$14</f>
        <v/>
      </c>
      <c r="I21" s="5">
        <f>E21*$B$15+F21*$B$16</f>
        <v/>
      </c>
      <c r="J21" s="5">
        <f>G21+H21+I21</f>
        <v/>
      </c>
    </row>
    <row r="22">
      <c r="A22" t="inlineStr">
        <is>
          <t>Staging</t>
        </is>
      </c>
      <c r="B22" t="n">
        <v>2</v>
      </c>
      <c r="C22" t="n">
        <v>0</v>
      </c>
      <c r="D22" t="n">
        <v>2</v>
      </c>
      <c r="E22" t="n">
        <v>1</v>
      </c>
      <c r="F22" t="n">
        <v>1</v>
      </c>
      <c r="G22" s="5">
        <f>(B22*$B$12+C22*$B$13)*$B$7</f>
        <v/>
      </c>
      <c r="H22" s="5">
        <f>D22*$B$14</f>
        <v/>
      </c>
      <c r="I22" s="5">
        <f>E22*$B$15+F22*$B$16</f>
        <v/>
      </c>
      <c r="J22" s="5">
        <f>G22+H22+I22</f>
        <v/>
      </c>
    </row>
    <row r="23">
      <c r="A23" t="inlineStr">
        <is>
          <t>Production small</t>
        </is>
      </c>
      <c r="B23" t="n">
        <v>0</v>
      </c>
      <c r="C23" t="n">
        <v>3</v>
      </c>
      <c r="D23" t="n">
        <v>3</v>
      </c>
      <c r="E23" t="n">
        <v>1</v>
      </c>
      <c r="F23" t="n">
        <v>1</v>
      </c>
      <c r="G23" s="5">
        <f>(B23*$B$12+C23*$B$13)*$B$7</f>
        <v/>
      </c>
      <c r="H23" s="5">
        <f>D23*$B$14</f>
        <v/>
      </c>
      <c r="I23" s="5">
        <f>E23*$B$15+F23*$B$16</f>
        <v/>
      </c>
      <c r="J23" s="5">
        <f>G23+H23+I23</f>
        <v/>
      </c>
    </row>
    <row r="25">
      <c r="A25" s="3" t="inlineStr">
        <is>
          <t>VMSS + Application Gateway architecture</t>
        </is>
      </c>
    </row>
    <row r="26">
      <c r="A26" s="4" t="inlineStr">
        <is>
          <t>Environment</t>
        </is>
      </c>
      <c r="B26" s="4" t="inlineStr">
        <is>
          <t>D4 VM Count</t>
        </is>
      </c>
      <c r="C26" s="4" t="inlineStr">
        <is>
          <t>D8 VM Count</t>
        </is>
      </c>
      <c r="D26" s="4" t="inlineStr">
        <is>
          <t>P20 Disk Count</t>
        </is>
      </c>
      <c r="E26" s="4" t="inlineStr">
        <is>
          <t>App Gateway Count</t>
        </is>
      </c>
      <c r="F26" s="4" t="inlineStr">
        <is>
          <t>Public IP Count</t>
        </is>
      </c>
      <c r="G26" s="4" t="inlineStr">
        <is>
          <t>Compute Monthly</t>
        </is>
      </c>
      <c r="H26" s="4" t="inlineStr">
        <is>
          <t>Disk Monthly</t>
        </is>
      </c>
      <c r="I26" s="4" t="inlineStr">
        <is>
          <t>Gateway+IP Monthly</t>
        </is>
      </c>
      <c r="J26" s="4" t="inlineStr">
        <is>
          <t>Total Monthly</t>
        </is>
      </c>
    </row>
    <row r="27">
      <c r="A27" t="inlineStr">
        <is>
          <t>Staging</t>
        </is>
      </c>
      <c r="B27" t="n">
        <v>2</v>
      </c>
      <c r="C27" t="n">
        <v>0</v>
      </c>
      <c r="D27" t="n">
        <v>2</v>
      </c>
      <c r="E27" t="n">
        <v>1</v>
      </c>
      <c r="F27" t="n">
        <v>1</v>
      </c>
      <c r="G27" s="5">
        <f>(B27*$B$12+C27*$B$13)*$B$7</f>
        <v/>
      </c>
      <c r="H27" s="5">
        <f>D27*$B$14</f>
        <v/>
      </c>
      <c r="I27" s="5">
        <f>E27*$B$17+F27*$B$15</f>
        <v/>
      </c>
      <c r="J27" s="5">
        <f>G27+H27+I27</f>
        <v/>
      </c>
    </row>
    <row r="28">
      <c r="A28" t="inlineStr">
        <is>
          <t>Production small</t>
        </is>
      </c>
      <c r="B28" t="n">
        <v>0</v>
      </c>
      <c r="C28" t="n">
        <v>3</v>
      </c>
      <c r="D28" t="n">
        <v>3</v>
      </c>
      <c r="E28" t="n">
        <v>1</v>
      </c>
      <c r="F28" t="n">
        <v>1</v>
      </c>
      <c r="G28" s="5">
        <f>(B28*$B$12+C28*$B$13)*$B$7</f>
        <v/>
      </c>
      <c r="H28" s="5">
        <f>D28*$B$14</f>
        <v/>
      </c>
      <c r="I28" s="5">
        <f>E28*$B$17+F28*$B$15</f>
        <v/>
      </c>
      <c r="J28" s="5">
        <f>G28+H28+I28</f>
        <v/>
      </c>
    </row>
    <row r="29">
      <c r="A29" t="inlineStr">
        <is>
          <t>Production medium</t>
        </is>
      </c>
      <c r="B29" t="n">
        <v>0</v>
      </c>
      <c r="C29" t="n">
        <v>6</v>
      </c>
      <c r="D29" t="n">
        <v>6</v>
      </c>
      <c r="E29" t="n">
        <v>1</v>
      </c>
      <c r="F29" t="n">
        <v>1</v>
      </c>
      <c r="G29" s="5">
        <f>(B29*$B$12+C29*$B$13)*$B$7</f>
        <v/>
      </c>
      <c r="H29" s="5">
        <f>D29*$B$14</f>
        <v/>
      </c>
      <c r="I29" s="5">
        <f>E29*$B$17+F29*$B$15</f>
        <v/>
      </c>
      <c r="J29" s="5">
        <f>G29+H29+I29</f>
        <v/>
      </c>
    </row>
    <row r="31">
      <c r="A31" t="inlineStr">
        <is>
          <t>Note</t>
        </is>
      </c>
      <c r="B31" t="inlineStr">
        <is>
          <t>This workbook is generated monthly on day 1 by GitHub Actions. Review Azure Pricing Calculator for final purchase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2026-10-01T04:11:30Z</dcterms:created>
  <dcterms:modified xsi:type="dcterms:W3CDTF">2026-10-01T04:11:30Z</dcterms:modified>
</cp:coreProperties>
</file>